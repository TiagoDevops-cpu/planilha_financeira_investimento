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utador\Desktop\"/>
    </mc:Choice>
  </mc:AlternateContent>
  <xr:revisionPtr revIDLastSave="0" documentId="13_ncr:1_{494AA71E-BB3B-4036-BF0A-A1B297129C64}" xr6:coauthVersionLast="47" xr6:coauthVersionMax="47" xr10:uidLastSave="{00000000-0000-0000-0000-000000000000}"/>
  <bookViews>
    <workbookView xWindow="-120" yWindow="-120" windowWidth="29040" windowHeight="15720" tabRatio="0" xr2:uid="{571D8CEA-E021-435D-9C4F-C38FAF63B91C}"/>
  </bookViews>
  <sheets>
    <sheet name="Metta_Invest" sheetId="1" r:id="rId1"/>
    <sheet name="Planilh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5" i="1" l="1"/>
  <c r="I4" i="2"/>
  <c r="C37" i="1"/>
  <c r="C36" i="1"/>
  <c r="C38" i="1"/>
  <c r="C39" i="1"/>
  <c r="C40" i="1"/>
  <c r="D40" i="1" s="1"/>
  <c r="A15" i="2"/>
  <c r="A16" i="2"/>
  <c r="A17" i="2"/>
  <c r="A18" i="2"/>
  <c r="A19" i="2"/>
  <c r="A20" i="2"/>
  <c r="A9" i="2"/>
  <c r="A10" i="2"/>
  <c r="A11" i="2"/>
  <c r="A12" i="2"/>
  <c r="A13" i="2"/>
  <c r="A14" i="2"/>
  <c r="A4" i="2"/>
  <c r="A5" i="2"/>
  <c r="A6" i="2"/>
  <c r="A7" i="2"/>
  <c r="A8" i="2"/>
  <c r="A3" i="2"/>
  <c r="C32" i="1"/>
  <c r="D13" i="1"/>
  <c r="C24" i="1"/>
  <c r="D24" i="1" s="1"/>
  <c r="C25" i="1"/>
  <c r="D25" i="1" s="1"/>
  <c r="C26" i="1"/>
  <c r="D26" i="1" s="1"/>
  <c r="C27" i="1"/>
  <c r="D27" i="1" s="1"/>
  <c r="C23" i="1"/>
  <c r="D23" i="1" s="1"/>
  <c r="D19" i="1"/>
  <c r="D20" i="1" s="1"/>
  <c r="D35" i="1" l="1"/>
  <c r="D39" i="1"/>
  <c r="D38" i="1"/>
  <c r="D36" i="1"/>
  <c r="D37" i="1"/>
  <c r="D41" i="1" s="1"/>
</calcChain>
</file>

<file path=xl/sharedStrings.xml><?xml version="1.0" encoding="utf-8"?>
<sst xmlns="http://schemas.openxmlformats.org/spreadsheetml/2006/main" count="71" uniqueCount="34">
  <si>
    <t>Quanto Investir por mês?</t>
  </si>
  <si>
    <t>Por Quantos Anos?</t>
  </si>
  <si>
    <t>Taxa de Rendimento mensal?</t>
  </si>
  <si>
    <t>Dividendos Mensais?</t>
  </si>
  <si>
    <t>INVESTIMENTO MENSAL</t>
  </si>
  <si>
    <t xml:space="preserve">Patrimônio acumulado?
</t>
  </si>
  <si>
    <t>Quanto em 2 Anos</t>
  </si>
  <si>
    <t>Quanto em 5 Anos</t>
  </si>
  <si>
    <t>Quanto em 10 Anos</t>
  </si>
  <si>
    <t>Quanto em 20 Anos</t>
  </si>
  <si>
    <t>Quanto em 30 Anos</t>
  </si>
  <si>
    <t>CENÁRIOS</t>
  </si>
  <si>
    <t>Dividendo</t>
  </si>
  <si>
    <t>CONFIGURAÇÕES</t>
  </si>
  <si>
    <t>Salário</t>
  </si>
  <si>
    <t>Redimento Carteira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</si>
  <si>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</si>
  <si>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</si>
  <si>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</si>
  <si>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</si>
  <si>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</si>
  <si>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</si>
  <si>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</si>
  <si>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</si>
  <si>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</si>
  <si>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</si>
  <si>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</si>
  <si>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</si>
  <si>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</si>
  <si>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</si>
  <si>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</si>
  <si>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Moderado-TIJOLO</t>
  </si>
  <si>
    <t>%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</si>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</sst>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9C57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7" fillId="4" borderId="0" applyNumberFormat="0" applyBorder="0" applyAlignment="0" applyProtection="0"/>
  </cellStyleXfs>
  <cellXfs count="60">
    <xf numFmtId="0" fontId="0" fillId="0" borderId="0" xfId="0"/>
    <xf numFmtId="0" fontId="4" fillId="0" borderId="0" xfId="0" applyFont="1"/>
    <xf numFmtId="0" fontId="6" fillId="2" borderId="2" xfId="0" applyFont="1" applyFill="1" applyBorder="1" applyAlignment="1">
      <alignment horizontal="left" vertical="center"/>
    </xf>
    <xf numFmtId="0" fontId="0" fillId="0" borderId="0" xfId="0" applyBorder="1"/>
    <xf numFmtId="0" fontId="0" fillId="0" borderId="0" xfId="0" applyAlignment="1">
      <alignment horizontal="center"/>
    </xf>
    <xf numFmtId="0" fontId="7" fillId="4" borderId="0" xfId="2"/>
    <xf numFmtId="164" fontId="2" fillId="7" borderId="9" xfId="0" applyNumberFormat="1" applyFont="1" applyFill="1" applyBorder="1" applyAlignment="1">
      <alignment horizontal="center" vertical="center"/>
    </xf>
    <xf numFmtId="8" fontId="2" fillId="7" borderId="7" xfId="0" applyNumberFormat="1" applyFont="1" applyFill="1" applyBorder="1" applyAlignment="1">
      <alignment horizontal="center"/>
    </xf>
    <xf numFmtId="8" fontId="2" fillId="7" borderId="9" xfId="0" applyNumberFormat="1" applyFont="1" applyFill="1" applyBorder="1" applyAlignment="1">
      <alignment horizontal="center"/>
    </xf>
    <xf numFmtId="0" fontId="8" fillId="7" borderId="4" xfId="0" applyFont="1" applyFill="1" applyBorder="1" applyAlignment="1">
      <alignment horizontal="left" indent="3"/>
    </xf>
    <xf numFmtId="8" fontId="2" fillId="7" borderId="10" xfId="0" applyNumberFormat="1" applyFont="1" applyFill="1" applyBorder="1" applyAlignment="1">
      <alignment horizontal="center" vertical="center"/>
    </xf>
    <xf numFmtId="8" fontId="2" fillId="7" borderId="5" xfId="0" applyNumberFormat="1" applyFont="1" applyFill="1" applyBorder="1" applyAlignment="1">
      <alignment horizontal="center"/>
    </xf>
    <xf numFmtId="0" fontId="8" fillId="7" borderId="6" xfId="0" applyFont="1" applyFill="1" applyBorder="1" applyAlignment="1">
      <alignment horizontal="left" indent="3"/>
    </xf>
    <xf numFmtId="8" fontId="2" fillId="7" borderId="11" xfId="0" applyNumberFormat="1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left" indent="3"/>
    </xf>
    <xf numFmtId="8" fontId="2" fillId="7" borderId="12" xfId="0" applyNumberFormat="1" applyFont="1" applyFill="1" applyBorder="1" applyAlignment="1">
      <alignment horizontal="center" vertical="center"/>
    </xf>
    <xf numFmtId="0" fontId="0" fillId="7" borderId="0" xfId="0" applyFill="1"/>
    <xf numFmtId="164" fontId="0" fillId="7" borderId="0" xfId="0" applyNumberFormat="1" applyFill="1"/>
    <xf numFmtId="0" fontId="9" fillId="4" borderId="0" xfId="2" applyFont="1"/>
    <xf numFmtId="0" fontId="2" fillId="7" borderId="0" xfId="0" applyFont="1" applyFill="1"/>
    <xf numFmtId="164" fontId="2" fillId="7" borderId="0" xfId="0" applyNumberFormat="1" applyFont="1" applyFill="1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0" applyNumberFormat="1"/>
    <xf numFmtId="0" fontId="2" fillId="5" borderId="0" xfId="0" applyFont="1" applyFill="1" applyAlignment="1">
      <alignment horizontal="center" vertical="center"/>
    </xf>
    <xf numFmtId="0" fontId="0" fillId="5" borderId="0" xfId="0" applyFill="1"/>
    <xf numFmtId="164" fontId="0" fillId="5" borderId="0" xfId="0" applyNumberFormat="1" applyFill="1"/>
    <xf numFmtId="9" fontId="7" fillId="4" borderId="0" xfId="2" applyNumberFormat="1"/>
    <xf numFmtId="0" fontId="0" fillId="8" borderId="0" xfId="0" applyFill="1" applyBorder="1"/>
    <xf numFmtId="0" fontId="0" fillId="8" borderId="0" xfId="0" applyFill="1" applyBorder="1" applyAlignment="1">
      <alignment horizontal="center"/>
    </xf>
    <xf numFmtId="0" fontId="0" fillId="7" borderId="0" xfId="0" applyFill="1" applyBorder="1"/>
    <xf numFmtId="0" fontId="0" fillId="7" borderId="0" xfId="0" applyFill="1" applyBorder="1" applyAlignment="1">
      <alignment horizontal="center" vertical="center"/>
    </xf>
    <xf numFmtId="9" fontId="0" fillId="7" borderId="0" xfId="0" applyNumberFormat="1" applyFill="1" applyBorder="1"/>
    <xf numFmtId="0" fontId="0" fillId="7" borderId="13" xfId="0" applyFill="1" applyBorder="1"/>
    <xf numFmtId="0" fontId="0" fillId="7" borderId="13" xfId="0" applyFill="1" applyBorder="1" applyAlignment="1">
      <alignment horizontal="center" vertical="center"/>
    </xf>
    <xf numFmtId="9" fontId="0" fillId="7" borderId="13" xfId="0" applyNumberFormat="1" applyFill="1" applyBorder="1"/>
    <xf numFmtId="0" fontId="0" fillId="7" borderId="14" xfId="0" applyFill="1" applyBorder="1"/>
    <xf numFmtId="0" fontId="0" fillId="7" borderId="14" xfId="0" applyFill="1" applyBorder="1" applyAlignment="1">
      <alignment horizontal="center" vertical="center"/>
    </xf>
    <xf numFmtId="9" fontId="0" fillId="7" borderId="14" xfId="0" applyNumberFormat="1" applyFill="1" applyBorder="1"/>
    <xf numFmtId="0" fontId="0" fillId="7" borderId="0" xfId="0" applyFill="1" applyAlignment="1">
      <alignment horizontal="center" vertical="center"/>
    </xf>
    <xf numFmtId="9" fontId="0" fillId="7" borderId="0" xfId="0" applyNumberFormat="1" applyFill="1"/>
    <xf numFmtId="0" fontId="9" fillId="4" borderId="0" xfId="2" applyFont="1" applyAlignment="1" applyProtection="1">
      <alignment horizontal="center"/>
      <protection locked="0"/>
    </xf>
    <xf numFmtId="164" fontId="2" fillId="6" borderId="5" xfId="1" applyNumberFormat="1" applyFont="1" applyFill="1" applyBorder="1" applyAlignment="1" applyProtection="1">
      <alignment horizontal="center"/>
      <protection locked="0"/>
    </xf>
    <xf numFmtId="1" fontId="2" fillId="0" borderId="7" xfId="0" applyNumberFormat="1" applyFont="1" applyBorder="1" applyAlignment="1" applyProtection="1">
      <alignment horizontal="center"/>
      <protection locked="0"/>
    </xf>
    <xf numFmtId="10" fontId="2" fillId="0" borderId="7" xfId="0" applyNumberFormat="1" applyFont="1" applyBorder="1" applyAlignment="1" applyProtection="1">
      <alignment horizontal="center"/>
      <protection locked="0"/>
    </xf>
    <xf numFmtId="164" fontId="2" fillId="6" borderId="5" xfId="0" applyNumberFormat="1" applyFont="1" applyFill="1" applyBorder="1" applyAlignment="1" applyProtection="1">
      <alignment horizontal="center" vertical="center"/>
      <protection locked="0"/>
    </xf>
    <xf numFmtId="10" fontId="2" fillId="0" borderId="7" xfId="0" applyNumberFormat="1" applyFont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left" indent="3"/>
    </xf>
    <xf numFmtId="0" fontId="8" fillId="7" borderId="10" xfId="0" applyFont="1" applyFill="1" applyBorder="1" applyAlignment="1">
      <alignment horizontal="left" indent="3"/>
    </xf>
    <xf numFmtId="0" fontId="8" fillId="7" borderId="6" xfId="0" applyFont="1" applyFill="1" applyBorder="1" applyAlignment="1">
      <alignment horizontal="left" indent="3"/>
    </xf>
    <xf numFmtId="0" fontId="8" fillId="7" borderId="11" xfId="0" applyFont="1" applyFill="1" applyBorder="1" applyAlignment="1">
      <alignment horizontal="left" indent="3"/>
    </xf>
    <xf numFmtId="0" fontId="8" fillId="7" borderId="8" xfId="0" applyFont="1" applyFill="1" applyBorder="1" applyAlignment="1">
      <alignment horizontal="left" vertical="center" indent="3"/>
    </xf>
    <xf numFmtId="0" fontId="8" fillId="7" borderId="12" xfId="0" applyFont="1" applyFill="1" applyBorder="1" applyAlignment="1">
      <alignment horizontal="left" vertical="center" indent="3"/>
    </xf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left" indent="3"/>
    </xf>
    <xf numFmtId="0" fontId="8" fillId="7" borderId="12" xfId="0" applyFont="1" applyFill="1" applyBorder="1" applyAlignment="1">
      <alignment horizontal="left" indent="3"/>
    </xf>
  </cellXfs>
  <cellStyles count="3">
    <cellStyle name="Moeda" xfId="1" builtinId="4"/>
    <cellStyle name="Neutro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Metta_Invest!$C$34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5A0-43E5-8B8D-23EC0D0C49C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5A0-43E5-8B8D-23EC0D0C49C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5A0-43E5-8B8D-23EC0D0C49C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55A0-43E5-8B8D-23EC0D0C49C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55A0-43E5-8B8D-23EC0D0C49CC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55A0-43E5-8B8D-23EC0D0C49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Metta_Invest!$B$35:$B$40</c:f>
              <c:strCache>
                <c:ptCount val="6"/>
                <c:pt idx="0">
                  <c:v>TIJOLO</c:v>
                </c:pt>
                <c:pt idx="1">
                  <c:v>PAPEL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Metta_Invest!$C$35:$C$40</c:f>
              <c:numCache>
                <c:formatCode>0%</c:formatCode>
                <c:ptCount val="6"/>
                <c:pt idx="0">
                  <c:v>0.4</c:v>
                </c:pt>
                <c:pt idx="1">
                  <c:v>0.32</c:v>
                </c:pt>
                <c:pt idx="2">
                  <c:v>0.08</c:v>
                </c:pt>
                <c:pt idx="3">
                  <c:v>0.1</c:v>
                </c:pt>
                <c:pt idx="4">
                  <c:v>0.05</c:v>
                </c:pt>
                <c:pt idx="5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05-4955-A144-4E7A1C847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95249</xdr:colOff>
      <xdr:row>0</xdr:row>
      <xdr:rowOff>65942</xdr:rowOff>
    </xdr:from>
    <xdr:to>
      <xdr:col>4</xdr:col>
      <xdr:colOff>578826</xdr:colOff>
      <xdr:row>8</xdr:row>
      <xdr:rowOff>43962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82F2EC1-F6EC-7DCE-48FA-440483B73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49" y="65942"/>
          <a:ext cx="6718789" cy="1502020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  <xdr:twoCellAnchor>
    <xdr:from>
      <xdr:col>0</xdr:col>
      <xdr:colOff>388327</xdr:colOff>
      <xdr:row>41</xdr:row>
      <xdr:rowOff>51290</xdr:rowOff>
    </xdr:from>
    <xdr:to>
      <xdr:col>4</xdr:col>
      <xdr:colOff>102578</xdr:colOff>
      <xdr:row>58</xdr:row>
      <xdr:rowOff>124558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916F8F5-C66F-D51C-F2DD-6A1C84426A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1D740-B31D-4B4A-9575-75266674A469}">
  <dimension ref="A9:XFC70"/>
  <sheetViews>
    <sheetView showGridLines="0" showRowColHeaders="0" tabSelected="1" topLeftCell="A13" zoomScale="130" zoomScaleNormal="130" workbookViewId="0">
      <selection activeCell="D37" sqref="D37"/>
    </sheetView>
  </sheetViews>
  <sheetFormatPr defaultColWidth="9.140625" defaultRowHeight="15" x14ac:dyDescent="0.25"/>
  <cols>
    <col min="1" max="1" width="7" customWidth="1"/>
    <col min="2" max="2" width="34.85546875" customWidth="1"/>
    <col min="3" max="3" width="31.5703125" customWidth="1"/>
    <col min="4" max="4" width="20.140625" customWidth="1"/>
    <col min="5" max="5" width="9.5703125" customWidth="1"/>
    <col min="6" max="6" width="11.28515625" hidden="1" customWidth="1"/>
    <col min="7" max="7" width="7.5703125" hidden="1" customWidth="1"/>
    <col min="8" max="8" width="9.140625" hidden="1" customWidth="1"/>
    <col min="9" max="9" width="8.85546875" hidden="1" customWidth="1"/>
    <col min="10" max="11" width="9.140625" hidden="1" customWidth="1"/>
    <col min="12" max="16383" width="0" hidden="1" customWidth="1"/>
    <col min="16384" max="16384" width="14.140625" hidden="1" customWidth="1"/>
  </cols>
  <sheetData>
    <row r="9" spans="2:4" ht="15.75" thickBot="1" x14ac:dyDescent="0.3"/>
    <row r="10" spans="2:4" ht="23.25" x14ac:dyDescent="0.25">
      <c r="B10" s="55" t="s">
        <v>13</v>
      </c>
      <c r="C10" s="56"/>
      <c r="D10" s="57"/>
    </row>
    <row r="11" spans="2:4" ht="15.75" x14ac:dyDescent="0.25">
      <c r="B11" s="49" t="s">
        <v>14</v>
      </c>
      <c r="C11" s="50"/>
      <c r="D11" s="44">
        <v>5000</v>
      </c>
    </row>
    <row r="12" spans="2:4" ht="15.75" x14ac:dyDescent="0.25">
      <c r="B12" s="51" t="s">
        <v>15</v>
      </c>
      <c r="C12" s="52"/>
      <c r="D12" s="45">
        <v>6.0000000000000001E-3</v>
      </c>
    </row>
    <row r="13" spans="2:4" s="3" customFormat="1" ht="16.5" thickBot="1" x14ac:dyDescent="0.3">
      <c r="B13" s="53" t="s">
        <v>33</v>
      </c>
      <c r="C13" s="54"/>
      <c r="D13" s="6">
        <f>D11*30%</f>
        <v>1500</v>
      </c>
    </row>
    <row r="14" spans="2:4" ht="15.75" thickBot="1" x14ac:dyDescent="0.3"/>
    <row r="15" spans="2:4" ht="44.25" customHeight="1" x14ac:dyDescent="0.25">
      <c r="B15" s="46" t="s">
        <v>4</v>
      </c>
      <c r="C15" s="47"/>
      <c r="D15" s="48"/>
    </row>
    <row r="16" spans="2:4" ht="15.75" x14ac:dyDescent="0.25">
      <c r="B16" s="49" t="s">
        <v>0</v>
      </c>
      <c r="C16" s="50"/>
      <c r="D16" s="41">
        <v>500</v>
      </c>
    </row>
    <row r="17" spans="1:4" ht="15.75" x14ac:dyDescent="0.25">
      <c r="B17" s="51" t="s">
        <v>1</v>
      </c>
      <c r="C17" s="52"/>
      <c r="D17" s="42">
        <v>10</v>
      </c>
    </row>
    <row r="18" spans="1:4" ht="15.75" x14ac:dyDescent="0.25">
      <c r="B18" s="51" t="s">
        <v>2</v>
      </c>
      <c r="C18" s="52"/>
      <c r="D18" s="43">
        <v>1.0789999999999999E-2</v>
      </c>
    </row>
    <row r="19" spans="1:4" ht="15.75" x14ac:dyDescent="0.25">
      <c r="B19" s="51" t="s">
        <v>5</v>
      </c>
      <c r="C19" s="52"/>
      <c r="D19" s="7">
        <f>FV(D18,D17*12,D16*-1)</f>
        <v>121642.1062650861</v>
      </c>
    </row>
    <row r="20" spans="1:4" ht="16.5" thickBot="1" x14ac:dyDescent="0.3">
      <c r="B20" s="58" t="s">
        <v>3</v>
      </c>
      <c r="C20" s="59"/>
      <c r="D20" s="8">
        <f>D19*$D$12</f>
        <v>729.85263759051657</v>
      </c>
    </row>
    <row r="21" spans="1:4" ht="15.75" thickBot="1" x14ac:dyDescent="0.3"/>
    <row r="22" spans="1:4" ht="33" customHeight="1" x14ac:dyDescent="0.25">
      <c r="B22" s="46" t="s">
        <v>11</v>
      </c>
      <c r="C22" s="47"/>
      <c r="D22" s="2" t="s">
        <v>12</v>
      </c>
    </row>
    <row r="23" spans="1:4" ht="15.75" x14ac:dyDescent="0.25">
      <c r="A23" s="1">
        <v>2</v>
      </c>
      <c r="B23" s="9" t="s">
        <v>6</v>
      </c>
      <c r="C23" s="10">
        <f>FV($D$18,$A23*12,$D$16*-1)</f>
        <v>13613.813648822608</v>
      </c>
      <c r="D23" s="11">
        <f>C23*$D$12</f>
        <v>81.682881892935654</v>
      </c>
    </row>
    <row r="24" spans="1:4" ht="15.75" x14ac:dyDescent="0.25">
      <c r="A24" s="1">
        <v>5</v>
      </c>
      <c r="B24" s="12" t="s">
        <v>7</v>
      </c>
      <c r="C24" s="13">
        <f>FV($D$18,$A24*12,$D$16*-1)</f>
        <v>41888.456999243819</v>
      </c>
      <c r="D24" s="7">
        <f>C24*$D$12</f>
        <v>251.33074199546292</v>
      </c>
    </row>
    <row r="25" spans="1:4" ht="15.75" x14ac:dyDescent="0.25">
      <c r="A25" s="1">
        <v>10</v>
      </c>
      <c r="B25" s="12" t="s">
        <v>8</v>
      </c>
      <c r="C25" s="13">
        <f>FV($D$18,$A25*12,$D$16*-1)</f>
        <v>121642.1062650861</v>
      </c>
      <c r="D25" s="7">
        <f>C25*$D$12</f>
        <v>729.85263759051657</v>
      </c>
    </row>
    <row r="26" spans="1:4" ht="15.75" x14ac:dyDescent="0.25">
      <c r="A26" s="1">
        <v>20</v>
      </c>
      <c r="B26" s="12" t="s">
        <v>9</v>
      </c>
      <c r="C26" s="13">
        <f>FV($D$18,$A26*12,$D$16*-1)</f>
        <v>562599.20004854025</v>
      </c>
      <c r="D26" s="7">
        <f>C26*$D$12</f>
        <v>3375.5952002912418</v>
      </c>
    </row>
    <row r="27" spans="1:4" ht="16.5" thickBot="1" x14ac:dyDescent="0.3">
      <c r="A27" s="1">
        <v>30</v>
      </c>
      <c r="B27" s="14" t="s">
        <v>10</v>
      </c>
      <c r="C27" s="15">
        <f>FV($D$18,$A27*12,$D$16*-1)</f>
        <v>2161084.8275023573</v>
      </c>
      <c r="D27" s="8">
        <f>C27*$D$12</f>
        <v>12966.508965014144</v>
      </c>
    </row>
    <row r="31" spans="1:4" x14ac:dyDescent="0.25">
      <c r="B31" s="18" t="s">
        <v>20</v>
      </c>
      <c r="C31" s="40" t="s">
        <v>17</v>
      </c>
      <c r="D31" s="5"/>
    </row>
    <row r="32" spans="1:4" x14ac:dyDescent="0.25">
      <c r="B32" s="19" t="s">
        <v>19</v>
      </c>
      <c r="C32" s="20">
        <f>D16</f>
        <v>500</v>
      </c>
      <c r="D32" s="16"/>
    </row>
    <row r="34" spans="2:4" x14ac:dyDescent="0.25">
      <c r="B34" s="23" t="s">
        <v>21</v>
      </c>
      <c r="C34" s="23" t="s">
        <v>22</v>
      </c>
      <c r="D34" s="23" t="s">
        <v>23</v>
      </c>
    </row>
    <row r="35" spans="2:4" x14ac:dyDescent="0.25">
      <c r="B35" s="21" t="s">
        <v>25</v>
      </c>
      <c r="C35" s="22">
        <f>VLOOKUP($C$31&amp;"-"&amp;B35,Planilha1!$A:$D,4,FALSE)</f>
        <v>0.4</v>
      </c>
      <c r="D35" s="17">
        <f>C35*$C$32</f>
        <v>200</v>
      </c>
    </row>
    <row r="36" spans="2:4" x14ac:dyDescent="0.25">
      <c r="B36" s="21" t="s">
        <v>24</v>
      </c>
      <c r="C36" s="22">
        <f>VLOOKUP($C$31&amp;"-"&amp;B36,Planilha1!$A:$D,4,FALSE)</f>
        <v>0.32</v>
      </c>
      <c r="D36" s="17">
        <f t="shared" ref="D36:D40" si="0">C36*$C$32</f>
        <v>160</v>
      </c>
    </row>
    <row r="37" spans="2:4" x14ac:dyDescent="0.25">
      <c r="B37" s="21" t="s">
        <v>26</v>
      </c>
      <c r="C37" s="22">
        <f>VLOOKUP($C$31&amp;"-"&amp;B37,Planilha1!$A:$D,4,FALSE)</f>
        <v>0.08</v>
      </c>
      <c r="D37" s="17">
        <f t="shared" si="0"/>
        <v>40</v>
      </c>
    </row>
    <row r="38" spans="2:4" x14ac:dyDescent="0.25">
      <c r="B38" s="21" t="s">
        <v>27</v>
      </c>
      <c r="C38" s="22">
        <f>VLOOKUP($C$31&amp;"-"&amp;B38,Planilha1!$A:$D,4,FALSE)</f>
        <v>0.1</v>
      </c>
      <c r="D38" s="17">
        <f t="shared" si="0"/>
        <v>50</v>
      </c>
    </row>
    <row r="39" spans="2:4" x14ac:dyDescent="0.25">
      <c r="B39" s="21" t="s">
        <v>28</v>
      </c>
      <c r="C39" s="22">
        <f>VLOOKUP($C$31&amp;"-"&amp;B39,Planilha1!$A:$D,4,FALSE)</f>
        <v>0.05</v>
      </c>
      <c r="D39" s="17">
        <f t="shared" si="0"/>
        <v>25</v>
      </c>
    </row>
    <row r="40" spans="2:4" x14ac:dyDescent="0.25">
      <c r="B40" s="21" t="s">
        <v>29</v>
      </c>
      <c r="C40" s="22">
        <f>VLOOKUP($C$31&amp;"-"&amp;B40,Planilha1!$A:$D,4,FALSE)</f>
        <v>0.05</v>
      </c>
      <c r="D40" s="17">
        <f t="shared" si="0"/>
        <v>25</v>
      </c>
    </row>
    <row r="41" spans="2:4" x14ac:dyDescent="0.25">
      <c r="B41" s="24"/>
      <c r="C41" s="24"/>
      <c r="D41" s="25">
        <f>SUM(D35:D40)</f>
        <v>500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</sheetData>
  <sheetProtection sheet="1" objects="1" scenarios="1"/>
  <mergeCells count="11">
    <mergeCell ref="B22:C22"/>
    <mergeCell ref="B16:C16"/>
    <mergeCell ref="B17:C17"/>
    <mergeCell ref="B18:C18"/>
    <mergeCell ref="B19:C19"/>
    <mergeCell ref="B20:C20"/>
    <mergeCell ref="B15:D15"/>
    <mergeCell ref="B11:C11"/>
    <mergeCell ref="B12:C12"/>
    <mergeCell ref="B13:C13"/>
    <mergeCell ref="B10:D10"/>
  </mergeCells>
  <dataValidations count="1">
    <dataValidation type="list" allowBlank="1" showInputMessage="1" showErrorMessage="1" sqref="C31" xr:uid="{9AE56AD4-3E5A-4C01-B7A4-25AC42D9400E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37435-536F-40E4-AFB9-52D1915E4A9D}">
  <dimension ref="A1:I20"/>
  <sheetViews>
    <sheetView showGridLines="0" showRowColHeaders="0" workbookViewId="0">
      <selection activeCell="I22" sqref="I22"/>
    </sheetView>
  </sheetViews>
  <sheetFormatPr defaultRowHeight="15" x14ac:dyDescent="0.25"/>
  <cols>
    <col min="1" max="1" width="32.5703125" customWidth="1"/>
    <col min="2" max="2" width="12.140625" bestFit="1" customWidth="1"/>
    <col min="3" max="3" width="19" bestFit="1" customWidth="1"/>
    <col min="4" max="4" width="19.140625" bestFit="1" customWidth="1"/>
    <col min="8" max="8" width="17" bestFit="1" customWidth="1"/>
    <col min="9" max="9" width="10.42578125" customWidth="1"/>
  </cols>
  <sheetData>
    <row r="1" spans="1:9" x14ac:dyDescent="0.25">
      <c r="A1" s="3"/>
      <c r="B1" s="3"/>
      <c r="C1" s="3"/>
      <c r="D1" s="3"/>
    </row>
    <row r="2" spans="1:9" x14ac:dyDescent="0.25">
      <c r="A2" s="27" t="s">
        <v>30</v>
      </c>
      <c r="B2" s="27" t="s">
        <v>20</v>
      </c>
      <c r="C2" s="28" t="s">
        <v>21</v>
      </c>
      <c r="D2" s="27" t="s">
        <v>22</v>
      </c>
    </row>
    <row r="3" spans="1:9" x14ac:dyDescent="0.25">
      <c r="A3" s="29" t="str">
        <f>B3&amp;"-"&amp;C3</f>
        <v>Conservador-TIJOLO</v>
      </c>
      <c r="B3" s="29" t="s">
        <v>16</v>
      </c>
      <c r="C3" s="30" t="s">
        <v>25</v>
      </c>
      <c r="D3" s="31">
        <v>0.5</v>
      </c>
      <c r="I3" s="4" t="s">
        <v>32</v>
      </c>
    </row>
    <row r="4" spans="1:9" x14ac:dyDescent="0.25">
      <c r="A4" s="29" t="str">
        <f t="shared" ref="A4:A20" si="0">B4&amp;"-"&amp;C4</f>
        <v>Conservador-PAPEL</v>
      </c>
      <c r="B4" s="29" t="s">
        <v>16</v>
      </c>
      <c r="C4" s="30" t="s">
        <v>24</v>
      </c>
      <c r="D4" s="31">
        <v>0.3</v>
      </c>
      <c r="H4" s="5" t="s">
        <v>31</v>
      </c>
      <c r="I4" s="26">
        <f>VLOOKUP(H4,$A:$D,4,FALSE)</f>
        <v>0.4</v>
      </c>
    </row>
    <row r="5" spans="1:9" x14ac:dyDescent="0.25">
      <c r="A5" s="29" t="str">
        <f t="shared" si="0"/>
        <v>Conservador-HÍBRIDOS</v>
      </c>
      <c r="B5" s="29" t="s">
        <v>16</v>
      </c>
      <c r="C5" s="30" t="s">
        <v>26</v>
      </c>
      <c r="D5" s="31">
        <v>0.1</v>
      </c>
    </row>
    <row r="6" spans="1:9" x14ac:dyDescent="0.25">
      <c r="A6" s="29" t="str">
        <f t="shared" si="0"/>
        <v>Conservador-FOFs</v>
      </c>
      <c r="B6" s="29" t="s">
        <v>16</v>
      </c>
      <c r="C6" s="30" t="s">
        <v>27</v>
      </c>
      <c r="D6" s="31">
        <v>0.1</v>
      </c>
    </row>
    <row r="7" spans="1:9" x14ac:dyDescent="0.25">
      <c r="A7" s="29" t="str">
        <f t="shared" si="0"/>
        <v>Conservador-DESENVOLVIMENTO</v>
      </c>
      <c r="B7" s="29" t="s">
        <v>16</v>
      </c>
      <c r="C7" s="30" t="s">
        <v>28</v>
      </c>
      <c r="D7" s="31">
        <v>0</v>
      </c>
    </row>
    <row r="8" spans="1:9" ht="15.75" thickBot="1" x14ac:dyDescent="0.3">
      <c r="A8" s="32" t="str">
        <f t="shared" si="0"/>
        <v>Conservador-HOTELARIAS</v>
      </c>
      <c r="B8" s="32" t="s">
        <v>16</v>
      </c>
      <c r="C8" s="33" t="s">
        <v>29</v>
      </c>
      <c r="D8" s="34">
        <v>0</v>
      </c>
    </row>
    <row r="9" spans="1:9" ht="15.75" thickTop="1" x14ac:dyDescent="0.25">
      <c r="A9" s="35" t="str">
        <f t="shared" si="0"/>
        <v>Moderado-TIJOLO</v>
      </c>
      <c r="B9" s="35" t="s">
        <v>17</v>
      </c>
      <c r="C9" s="36" t="s">
        <v>25</v>
      </c>
      <c r="D9" s="37">
        <v>0.4</v>
      </c>
    </row>
    <row r="10" spans="1:9" x14ac:dyDescent="0.25">
      <c r="A10" s="29" t="str">
        <f t="shared" si="0"/>
        <v>Moderado-PAPEL</v>
      </c>
      <c r="B10" s="29" t="s">
        <v>17</v>
      </c>
      <c r="C10" s="30" t="s">
        <v>24</v>
      </c>
      <c r="D10" s="31">
        <v>0.32</v>
      </c>
    </row>
    <row r="11" spans="1:9" x14ac:dyDescent="0.25">
      <c r="A11" s="29" t="str">
        <f t="shared" si="0"/>
        <v>Moderado-HÍBRIDOS</v>
      </c>
      <c r="B11" s="29" t="s">
        <v>17</v>
      </c>
      <c r="C11" s="30" t="s">
        <v>26</v>
      </c>
      <c r="D11" s="31">
        <v>0.08</v>
      </c>
    </row>
    <row r="12" spans="1:9" x14ac:dyDescent="0.25">
      <c r="A12" s="29" t="str">
        <f t="shared" si="0"/>
        <v>Moderado-FOFs</v>
      </c>
      <c r="B12" s="29" t="s">
        <v>17</v>
      </c>
      <c r="C12" s="30" t="s">
        <v>27</v>
      </c>
      <c r="D12" s="31">
        <v>0.1</v>
      </c>
    </row>
    <row r="13" spans="1:9" x14ac:dyDescent="0.25">
      <c r="A13" s="29" t="str">
        <f t="shared" si="0"/>
        <v>Moderado-DESENVOLVIMENTO</v>
      </c>
      <c r="B13" s="29" t="s">
        <v>17</v>
      </c>
      <c r="C13" s="30" t="s">
        <v>28</v>
      </c>
      <c r="D13" s="31">
        <v>0.05</v>
      </c>
    </row>
    <row r="14" spans="1:9" ht="15.75" thickBot="1" x14ac:dyDescent="0.3">
      <c r="A14" s="32" t="str">
        <f t="shared" si="0"/>
        <v>Moderado-HOTELARIAS</v>
      </c>
      <c r="B14" s="32" t="s">
        <v>17</v>
      </c>
      <c r="C14" s="33" t="s">
        <v>29</v>
      </c>
      <c r="D14" s="34">
        <v>0.05</v>
      </c>
    </row>
    <row r="15" spans="1:9" ht="15.75" thickTop="1" x14ac:dyDescent="0.25">
      <c r="A15" s="16" t="str">
        <f t="shared" si="0"/>
        <v>Agressivo-TIJOLO</v>
      </c>
      <c r="B15" s="16" t="s">
        <v>18</v>
      </c>
      <c r="C15" s="38" t="s">
        <v>25</v>
      </c>
      <c r="D15" s="39">
        <v>0.1</v>
      </c>
    </row>
    <row r="16" spans="1:9" x14ac:dyDescent="0.25">
      <c r="A16" s="16" t="str">
        <f t="shared" si="0"/>
        <v>Agressivo-PAPEL</v>
      </c>
      <c r="B16" s="16" t="s">
        <v>18</v>
      </c>
      <c r="C16" s="38" t="s">
        <v>24</v>
      </c>
      <c r="D16" s="39">
        <v>0.5</v>
      </c>
    </row>
    <row r="17" spans="1:4" x14ac:dyDescent="0.25">
      <c r="A17" s="16" t="str">
        <f t="shared" si="0"/>
        <v>Agressivo-HÍBRIDOS</v>
      </c>
      <c r="B17" s="16" t="s">
        <v>18</v>
      </c>
      <c r="C17" s="38" t="s">
        <v>26</v>
      </c>
      <c r="D17" s="39">
        <v>0.05</v>
      </c>
    </row>
    <row r="18" spans="1:4" x14ac:dyDescent="0.25">
      <c r="A18" s="16" t="str">
        <f t="shared" si="0"/>
        <v>Agressivo-FOFs</v>
      </c>
      <c r="B18" s="16" t="s">
        <v>18</v>
      </c>
      <c r="C18" s="38" t="s">
        <v>27</v>
      </c>
      <c r="D18" s="39">
        <v>0.05</v>
      </c>
    </row>
    <row r="19" spans="1:4" x14ac:dyDescent="0.25">
      <c r="A19" s="16" t="str">
        <f t="shared" si="0"/>
        <v>Agressivo-DESENVOLVIMENTO</v>
      </c>
      <c r="B19" s="16" t="s">
        <v>18</v>
      </c>
      <c r="C19" s="38" t="s">
        <v>28</v>
      </c>
      <c r="D19" s="39">
        <v>0.2</v>
      </c>
    </row>
    <row r="20" spans="1:4" x14ac:dyDescent="0.25">
      <c r="A20" s="16" t="str">
        <f t="shared" si="0"/>
        <v>Agressivo-HOTELARIAS</v>
      </c>
      <c r="B20" s="16" t="s">
        <v>18</v>
      </c>
      <c r="C20" s="38" t="s">
        <v>29</v>
      </c>
      <c r="D20" s="39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Metta_Invest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Santos</dc:creator>
  <cp:lastModifiedBy>Tiago Santos</cp:lastModifiedBy>
  <dcterms:created xsi:type="dcterms:W3CDTF">2026-08-27T16:42:31Z</dcterms:created>
  <dcterms:modified xsi:type="dcterms:W3CDTF">2026-08-27T22:40:14Z</dcterms:modified>
</cp:coreProperties>
</file>